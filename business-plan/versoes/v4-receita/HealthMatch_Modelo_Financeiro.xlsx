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Economia Coaph" sheetId="2" state="visible" r:id="rId4"/>
    <sheet name="Receita Incremental Coaph" sheetId="3" state="visible" r:id="rId5"/>
    <sheet name="Receita HM (Coaph)" sheetId="4" state="visible" r:id="rId6"/>
    <sheet name="Receita HM (escala)" sheetId="5" state="visible" r:id="rId7"/>
    <sheet name="Sensibilidad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<sst xmlns="http://schemas.openxmlformats.org/spreadsheetml/2006/main" count="87" uniqueCount="78">
  <si>
    <t xml:space="preserve">HealthMatch — Modelo Financeiro (pivô: contingência / gap-filling)</t>
  </si>
  <si>
    <t xml:space="preserve">Azul = premissa editável · Preto = fórmula · Verde = link. Core = cobrir o GAP (descobertas/no-shows), não gerir toda a escala.</t>
  </si>
  <si>
    <t xml:space="preserve">Premissas globais</t>
  </si>
  <si>
    <t xml:space="preserve">Plantão médico 12h (R$)</t>
  </si>
  <si>
    <t xml:space="preserve">Ticket médio ponderado por classe (R$)</t>
  </si>
  <si>
    <t xml:space="preserve">Teto do trade / fee sobre o plantão (≤5%)</t>
  </si>
  <si>
    <t xml:space="preserve">SaaS de prontidão — Coaph (R$/mês)</t>
  </si>
  <si>
    <t xml:space="preserve">Custo atual de prepostos (R$/mês)</t>
  </si>
  <si>
    <t xml:space="preserve">% do custo de prepostos ligado a gaps/exceções</t>
  </si>
  <si>
    <t xml:space="preserve">% dos gaps cobertos com sobrepreço hoje</t>
  </si>
  <si>
    <t xml:space="preserve">Sobrepreço médio por cobertura emergencial (R$)</t>
  </si>
  <si>
    <t xml:space="preserve">% dos gaps que ficariam descobertos (penalidade)</t>
  </si>
  <si>
    <t xml:space="preserve">Penalidade média por plantão descoberto (R$)</t>
  </si>
  <si>
    <t xml:space="preserve">Investimento PLENO em avaliação (R$)</t>
  </si>
  <si>
    <t xml:space="preserve">Investimento do PILOTO (R$)</t>
  </si>
  <si>
    <t xml:space="preserve">Cenários do gap (a validar no piloto)</t>
  </si>
  <si>
    <t xml:space="preserve">Driver</t>
  </si>
  <si>
    <t xml:space="preserve">Conservador</t>
  </si>
  <si>
    <t xml:space="preserve">Realista</t>
  </si>
  <si>
    <t xml:space="preserve">Otimista</t>
  </si>
  <si>
    <t xml:space="preserve">Gaps cobertos/mês</t>
  </si>
  <si>
    <t xml:space="preserve">% da parcela de gap automatizável</t>
  </si>
  <si>
    <t xml:space="preserve">Nota: sobrepreço e penalidade são as premissas de MAIOR peso e mais incertas — o piloto existe para validá-las. Ticket ponderado reflete o mix (médico R$1.200; enf/téc caem muito).</t>
  </si>
  <si>
    <t xml:space="preserve">Economia da Coaph (tese defensiva) — e o veredito de payback</t>
  </si>
  <si>
    <t xml:space="preserve">Âncora: parcela do custo de prepostos ligada a gaps/exceções. Honesto: a defensiva sozinha NÃO paga R$1,5mi rápido.</t>
  </si>
  <si>
    <t xml:space="preserve">Economia (R$/mês)</t>
  </si>
  <si>
    <t xml:space="preserve">1) Tempo de preposto no gap (parcela × autom.%)</t>
  </si>
  <si>
    <t xml:space="preserve">2) Sobrepreço emergencial evitado (gaps×%×R$)</t>
  </si>
  <si>
    <t xml:space="preserve">3) Penalidade evitada (gaps×%desc×R$)</t>
  </si>
  <si>
    <t xml:space="preserve">Economia BRUTA total / mês</t>
  </si>
  <si>
    <t xml:space="preserve">(–) Custo pago ao HealthMatch (SaaS+fee)</t>
  </si>
  <si>
    <t xml:space="preserve">Economia LÍQUIDA da Coaph / mês</t>
  </si>
  <si>
    <t xml:space="preserve">Economia líquida / ano</t>
  </si>
  <si>
    <t xml:space="preserve">Payback (meses) sobre a economia líquida</t>
  </si>
  <si>
    <t xml:space="preserve">PILOTO (R$ 300k) — o ask atual</t>
  </si>
  <si>
    <t xml:space="preserve">Rodada plena (R$ 1,5 mi) — futura/ofensiva</t>
  </si>
  <si>
    <t xml:space="preserve">Floor honesto: só prepostos paga R$1,5mi em (meses)</t>
  </si>
  <si>
    <t xml:space="preserve">Leitura: o PILOTO (R$300k) se paga em poucos meses mesmo no conservador. A economia depende sobretudo de sobrepreço+penalidade (linhas 2-3) — premissas que o piloto valida. Como CLIENTE, a Coaph é líquida-positiva todo mês.</t>
  </si>
  <si>
    <t xml:space="preserve">Receita incremental da Coaph — preencher vagas ociosas</t>
  </si>
  <si>
    <t xml:space="preserve">A Coaph tem contratos que não executa por falta de profissionais. A plataforma ajuda a preencher parte das vagas ociosas → margem que hoje fica na mesa. 🔹 feeling do fundador, sem dados — células editáveis.</t>
  </si>
  <si>
    <t xml:space="preserve">Premissas (editáveis)</t>
  </si>
  <si>
    <t xml:space="preserve">Vagas contratadas/mês</t>
  </si>
  <si>
    <t xml:space="preserve">Vagas preenchidas hoje/mês</t>
  </si>
  <si>
    <t xml:space="preserve">Valor médio da vaga (ponderado, R$)</t>
  </si>
  <si>
    <t xml:space="preserve">Margem administrativa da Coaph (&lt;5%)</t>
  </si>
  <si>
    <t xml:space="preserve">Vagas ociosas/mês</t>
  </si>
  <si>
    <t xml:space="preserve">Taxa de ociosidade</t>
  </si>
  <si>
    <t xml:space="preserve">GMV ocioso/mês ("dinheiro na mesa")</t>
  </si>
  <si>
    <t xml:space="preserve">Margem total na mesa/mês (se preenchesse tudo)</t>
  </si>
  <si>
    <t xml:space="preserve">Cenários de captura pela plataforma</t>
  </si>
  <si>
    <t xml:space="preserve">Métrica</t>
  </si>
  <si>
    <t xml:space="preserve">% das ociosas preenchidas via plataforma</t>
  </si>
  <si>
    <t xml:space="preserve">Vagas recuperadas/mês</t>
  </si>
  <si>
    <t xml:space="preserve">GMV recuperado/mês</t>
  </si>
  <si>
    <t xml:space="preserve">Receita incremental Coaph (margem) / mês</t>
  </si>
  <si>
    <t xml:space="preserve">Receita incremental Coaph / ano</t>
  </si>
  <si>
    <t xml:space="preserve">Benefício total Coaph/mês (economia bruta + receita incremental) — realista</t>
  </si>
  <si>
    <t xml:space="preserve">Honesto: por ser cooperativa de margem fina (&lt;5%), o ganho próprio em R$ é modesto, mas o GMV na mesa é grande e a sub-execução crônica ameaça a RENOVAÇÃO dos contratos — esse é o maior valor (estratégico). Soma-se ainda mais trabalho/renda aos cooperados.</t>
  </si>
  <si>
    <t xml:space="preserve">Receita do HealthMatch a partir da Coaph (SaaS + fee por gap)</t>
  </si>
  <si>
    <t xml:space="preserve">Modelo híbrido: mensalidade de prontidão (fixa) + fee por gap preenchido, capado no teto do trade (≤2%).</t>
  </si>
  <si>
    <t xml:space="preserve">Linha (R$/mês)</t>
  </si>
  <si>
    <t xml:space="preserve">Fee por gap (gaps × ticket × teto)</t>
  </si>
  <si>
    <t xml:space="preserve">SaaS de prontidão</t>
  </si>
  <si>
    <t xml:space="preserve">Receita HM / mês</t>
  </si>
  <si>
    <t xml:space="preserve">Receita HM / ano</t>
  </si>
  <si>
    <t xml:space="preserve">Receita do HealthMatch em escala (tese ofensiva — upside)</t>
  </si>
  <si>
    <t xml:space="preserve">Receita por cooperativa ≈ realista da aba Receita HM. Negócio de SaaS de contingência, modesto e previsível — não marketplace de take-rate gordo.</t>
  </si>
  <si>
    <t xml:space="preserve">Ano 1</t>
  </si>
  <si>
    <t xml:space="preserve">Ano 2</t>
  </si>
  <si>
    <t xml:space="preserve">Ano 3</t>
  </si>
  <si>
    <t xml:space="preserve">Cooperativas/clientes ativos (média)</t>
  </si>
  <si>
    <t xml:space="preserve">Receita/cliente/ano (realista)</t>
  </si>
  <si>
    <t xml:space="preserve">Receita HM total/ano</t>
  </si>
  <si>
    <t xml:space="preserve">Premissa de ramp-up (clientes) e ticket idêntico ao realista; ajuste conforme pipeline. Receita Ano 3 modesta vs. marketplace anterior — coerente com margem fina.</t>
  </si>
  <si>
    <t xml:space="preserve">Sensibilidade — payback (meses) da economia BRUTA vs gaps/mês × automatizável%</t>
  </si>
  <si>
    <t xml:space="preserve">Mostra que mesmo combinações otimistas raramente pagam R$1,5mi em &lt;30 meses só pela defensiva.</t>
  </si>
  <si>
    <t xml:space="preserve">gaps/mês ↓  |  automatizável% →</t>
  </si>
  <si>
    <t xml:space="preserve">Leitura: a parcela de prepostos é fixa (não depende do nº de gaps), por isso a defensiva tem teto de economia. Volume de gap importa para a RECEITA do HM e para o valor de cobertura, não para o payback via prepostos.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</si>
</sst>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&quot;(R$ &quot;#,##0\);\-"/>
    <numFmt numFmtId="166" formatCode="0.0%"/>
    <numFmt numFmtId="167" formatCode="#,##0;\(#,##0\);\-"/>
    <numFmt numFmtId="168" formatCode="#,##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D5B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B0002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F2F2F2"/>
      </patternFill>
    </fill>
    <fill>
      <patternFill patternType="solid">
        <fgColor rgb="FFFFF2CC"/>
        <bgColor rgb="FFFCE4E4"/>
      </patternFill>
    </fill>
    <fill>
      <patternFill patternType="solid">
        <fgColor rgb="FF0B2D5B"/>
        <bgColor rgb="FF333333"/>
      </patternFill>
    </fill>
    <fill>
      <patternFill patternType="solid">
        <fgColor rgb="FFF2F2F2"/>
        <bgColor rgb="FFFCE4E4"/>
      </patternFill>
    </fill>
    <fill>
      <patternFill patternType="solid">
        <fgColor rgb="FFFCE4E4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2D5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14"/>
    <col collapsed="false" customWidth="true" hidden="false" outlineLevel="0" max="5" min="5" style="0" width="6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1200</v>
      </c>
    </row>
    <row r="6" customFormat="false" ht="15" hidden="false" customHeight="false" outlineLevel="0" collapsed="false">
      <c r="A6" s="4" t="s">
        <v>4</v>
      </c>
      <c r="B6" s="5" t="n">
        <v>900</v>
      </c>
    </row>
    <row r="7" customFormat="false" ht="15" hidden="false" customHeight="false" outlineLevel="0" collapsed="false">
      <c r="A7" s="4" t="s">
        <v>5</v>
      </c>
      <c r="B7" s="6" t="n">
        <v>0.02</v>
      </c>
    </row>
    <row r="8" customFormat="false" ht="15" hidden="false" customHeight="false" outlineLevel="0" collapsed="false">
      <c r="A8" s="4" t="s">
        <v>6</v>
      </c>
      <c r="B8" s="5" t="n">
        <v>8000</v>
      </c>
    </row>
    <row r="9" customFormat="false" ht="15" hidden="false" customHeight="false" outlineLevel="0" collapsed="false">
      <c r="A9" s="4" t="s">
        <v>7</v>
      </c>
      <c r="B9" s="5" t="n">
        <v>240000</v>
      </c>
    </row>
    <row r="10" customFormat="false" ht="15" hidden="false" customHeight="false" outlineLevel="0" collapsed="false">
      <c r="A10" s="4" t="s">
        <v>8</v>
      </c>
      <c r="B10" s="6" t="n">
        <v>0.35</v>
      </c>
    </row>
    <row r="11" customFormat="false" ht="15" hidden="false" customHeight="false" outlineLevel="0" collapsed="false">
      <c r="A11" s="4" t="s">
        <v>9</v>
      </c>
      <c r="B11" s="6" t="n">
        <v>0.35</v>
      </c>
    </row>
    <row r="12" customFormat="false" ht="15" hidden="false" customHeight="false" outlineLevel="0" collapsed="false">
      <c r="A12" s="4" t="s">
        <v>10</v>
      </c>
      <c r="B12" s="5" t="n">
        <v>250</v>
      </c>
    </row>
    <row r="13" customFormat="false" ht="15" hidden="false" customHeight="false" outlineLevel="0" collapsed="false">
      <c r="A13" s="4" t="s">
        <v>11</v>
      </c>
      <c r="B13" s="6" t="n">
        <v>0.06</v>
      </c>
    </row>
    <row r="14" customFormat="false" ht="15" hidden="false" customHeight="false" outlineLevel="0" collapsed="false">
      <c r="A14" s="4" t="s">
        <v>12</v>
      </c>
      <c r="B14" s="5" t="n">
        <v>1200</v>
      </c>
    </row>
    <row r="15" customFormat="false" ht="15" hidden="false" customHeight="false" outlineLevel="0" collapsed="false">
      <c r="A15" s="4" t="s">
        <v>13</v>
      </c>
      <c r="B15" s="5" t="n">
        <v>1500000</v>
      </c>
    </row>
    <row r="16" customFormat="false" ht="15" hidden="false" customHeight="false" outlineLevel="0" collapsed="false">
      <c r="A16" s="4" t="s">
        <v>14</v>
      </c>
      <c r="B16" s="5" t="n">
        <v>300000</v>
      </c>
    </row>
    <row r="18" customFormat="false" ht="15" hidden="false" customHeight="false" outlineLevel="0" collapsed="false">
      <c r="A18" s="3" t="s">
        <v>15</v>
      </c>
      <c r="B18" s="3"/>
      <c r="C18" s="3"/>
      <c r="D18" s="3"/>
      <c r="E18" s="3"/>
    </row>
    <row r="19" customFormat="false" ht="15" hidden="false" customHeight="false" outlineLevel="0" collapsed="false">
      <c r="A19" s="7" t="s">
        <v>16</v>
      </c>
      <c r="B19" s="7" t="s">
        <v>17</v>
      </c>
      <c r="C19" s="7" t="s">
        <v>18</v>
      </c>
      <c r="D19" s="7" t="s">
        <v>19</v>
      </c>
    </row>
    <row r="20" customFormat="false" ht="15" hidden="false" customHeight="false" outlineLevel="0" collapsed="false">
      <c r="A20" s="4" t="s">
        <v>20</v>
      </c>
      <c r="B20" s="8" t="n">
        <v>400</v>
      </c>
      <c r="C20" s="8" t="n">
        <v>600</v>
      </c>
      <c r="D20" s="8" t="n">
        <v>1000</v>
      </c>
    </row>
    <row r="21" customFormat="false" ht="15" hidden="false" customHeight="false" outlineLevel="0" collapsed="false">
      <c r="A21" s="4" t="s">
        <v>21</v>
      </c>
      <c r="B21" s="6" t="n">
        <v>0.3</v>
      </c>
      <c r="C21" s="6" t="n">
        <v>0.45</v>
      </c>
      <c r="D21" s="6" t="n">
        <v>0.6</v>
      </c>
    </row>
    <row r="23" customFormat="false" ht="15" hidden="false" customHeight="false" outlineLevel="0" collapsed="false">
      <c r="A23" s="2" t="s">
        <v>22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</sheetData>
  <mergeCells count="5">
    <mergeCell ref="A1:F1"/>
    <mergeCell ref="A2:G2"/>
    <mergeCell ref="A4:C4"/>
    <mergeCell ref="A18:E18"/>
    <mergeCell ref="A23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</cols>
  <sheetData>
    <row r="1" customFormat="false" ht="18.55" hidden="false" customHeight="false" outlineLevel="0" collapsed="false">
      <c r="A1" s="1" t="s">
        <v>23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24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25</v>
      </c>
      <c r="B4" s="7" t="s">
        <v>17</v>
      </c>
      <c r="C4" s="7" t="s">
        <v>18</v>
      </c>
      <c r="D4" s="7" t="s">
        <v>19</v>
      </c>
    </row>
    <row r="5" customFormat="false" ht="15" hidden="false" customHeight="false" outlineLevel="0" collapsed="false">
      <c r="A5" s="4" t="s">
        <v>26</v>
      </c>
      <c r="B5" s="9" t="n">
        <f aca="false">(Premissas!$B$9*Premissas!$B$10)*Premissas!B21</f>
        <v>25200</v>
      </c>
      <c r="C5" s="9" t="n">
        <f aca="false">(Premissas!$B$9*Premissas!$B$10)*Premissas!C21</f>
        <v>37800</v>
      </c>
      <c r="D5" s="9" t="n">
        <f aca="false">(Premissas!$B$9*Premissas!$B$10)*Premissas!D21</f>
        <v>50400</v>
      </c>
    </row>
    <row r="6" customFormat="false" ht="15" hidden="false" customHeight="false" outlineLevel="0" collapsed="false">
      <c r="A6" s="4" t="s">
        <v>27</v>
      </c>
      <c r="B6" s="9" t="n">
        <f aca="false">Premissas!B20*Premissas!$B$11*Premissas!$B$12</f>
        <v>35000</v>
      </c>
      <c r="C6" s="9" t="n">
        <f aca="false">Premissas!C20*Premissas!$B$11*Premissas!$B$12</f>
        <v>52500</v>
      </c>
      <c r="D6" s="9" t="n">
        <f aca="false">Premissas!D20*Premissas!$B$11*Premissas!$B$12</f>
        <v>87500</v>
      </c>
    </row>
    <row r="7" customFormat="false" ht="15" hidden="false" customHeight="false" outlineLevel="0" collapsed="false">
      <c r="A7" s="4" t="s">
        <v>28</v>
      </c>
      <c r="B7" s="9" t="n">
        <f aca="false">Premissas!B20*Premissas!$B$13*Premissas!$B$14</f>
        <v>28800</v>
      </c>
      <c r="C7" s="9" t="n">
        <f aca="false">Premissas!C20*Premissas!$B$13*Premissas!$B$14</f>
        <v>43200</v>
      </c>
      <c r="D7" s="9" t="n">
        <f aca="false">Premissas!D20*Premissas!$B$13*Premissas!$B$14</f>
        <v>72000</v>
      </c>
    </row>
    <row r="8" customFormat="false" ht="15" hidden="false" customHeight="false" outlineLevel="0" collapsed="false">
      <c r="A8" s="10" t="s">
        <v>29</v>
      </c>
      <c r="B8" s="11" t="n">
        <f aca="false">SUM(B5:B7)</f>
        <v>89000</v>
      </c>
      <c r="C8" s="11" t="n">
        <f aca="false">SUM(C5:C7)</f>
        <v>133500</v>
      </c>
      <c r="D8" s="11" t="n">
        <f aca="false">SUM(D5:D7)</f>
        <v>209900</v>
      </c>
    </row>
    <row r="9" customFormat="false" ht="15" hidden="false" customHeight="false" outlineLevel="0" collapsed="false">
      <c r="A9" s="4" t="s">
        <v>30</v>
      </c>
      <c r="B9" s="12" t="n">
        <f aca="false">-'Receita HM (Coaph)'!B7</f>
        <v>-15200</v>
      </c>
      <c r="C9" s="12" t="n">
        <f aca="false">-'Receita HM (Coaph)'!C7</f>
        <v>-18800</v>
      </c>
      <c r="D9" s="12" t="n">
        <f aca="false">-'Receita HM (Coaph)'!D7</f>
        <v>-26000</v>
      </c>
    </row>
    <row r="10" customFormat="false" ht="15" hidden="false" customHeight="false" outlineLevel="0" collapsed="false">
      <c r="A10" s="10" t="s">
        <v>31</v>
      </c>
      <c r="B10" s="13" t="n">
        <f aca="false">B8+B9</f>
        <v>73800</v>
      </c>
      <c r="C10" s="13" t="n">
        <f aca="false">C8+C9</f>
        <v>114700</v>
      </c>
      <c r="D10" s="13" t="n">
        <f aca="false">D8+D9</f>
        <v>183900</v>
      </c>
    </row>
    <row r="11" customFormat="false" ht="15" hidden="false" customHeight="false" outlineLevel="0" collapsed="false">
      <c r="A11" s="10" t="s">
        <v>32</v>
      </c>
      <c r="B11" s="13" t="n">
        <f aca="false">B10*12</f>
        <v>885600</v>
      </c>
      <c r="C11" s="13" t="n">
        <f aca="false">C10*12</f>
        <v>1376400</v>
      </c>
      <c r="D11" s="13" t="n">
        <f aca="false">D10*12</f>
        <v>2206800</v>
      </c>
    </row>
    <row r="13" customFormat="false" ht="15" hidden="false" customHeight="false" outlineLevel="0" collapsed="false">
      <c r="A13" s="3" t="s">
        <v>33</v>
      </c>
      <c r="B13" s="3"/>
      <c r="C13" s="3"/>
      <c r="D13" s="3"/>
    </row>
    <row r="14" customFormat="false" ht="15" hidden="false" customHeight="false" outlineLevel="0" collapsed="false">
      <c r="A14" s="10" t="s">
        <v>34</v>
      </c>
      <c r="B14" s="14" t="n">
        <f aca="false">Premissas!$B$16/B10</f>
        <v>4.0650406504065</v>
      </c>
      <c r="C14" s="14" t="n">
        <f aca="false">Premissas!$B$16/C10</f>
        <v>2.615518744551</v>
      </c>
      <c r="D14" s="14" t="n">
        <f aca="false">Premissas!$B$16/D10</f>
        <v>1.63132137030995</v>
      </c>
    </row>
    <row r="15" customFormat="false" ht="15" hidden="false" customHeight="false" outlineLevel="0" collapsed="false">
      <c r="A15" s="4" t="s">
        <v>35</v>
      </c>
      <c r="B15" s="15" t="n">
        <f aca="false">Premissas!$B$15/B10</f>
        <v>20.3252032520325</v>
      </c>
      <c r="C15" s="15" t="n">
        <f aca="false">Premissas!$B$15/C10</f>
        <v>13.077593722755</v>
      </c>
      <c r="D15" s="15" t="n">
        <f aca="false">Premissas!$B$15/D10</f>
        <v>8.15660685154976</v>
      </c>
    </row>
    <row r="16" customFormat="false" ht="15" hidden="false" customHeight="false" outlineLevel="0" collapsed="false">
      <c r="A16" s="16" t="s">
        <v>36</v>
      </c>
      <c r="B16" s="17" t="n">
        <f aca="false">Premissas!$B$15/B5</f>
        <v>59.5238095238095</v>
      </c>
      <c r="C16" s="17" t="n">
        <f aca="false">Premissas!$B$15/C5</f>
        <v>39.6825396825397</v>
      </c>
      <c r="D16" s="17" t="n">
        <f aca="false">Premissas!$B$15/D5</f>
        <v>29.7619047619048</v>
      </c>
    </row>
    <row r="18" customFormat="false" ht="15" hidden="false" customHeight="false" outlineLevel="0" collapsed="false">
      <c r="A18" s="2" t="s">
        <v>37</v>
      </c>
      <c r="B18" s="2"/>
      <c r="C18" s="2"/>
      <c r="D18" s="2"/>
      <c r="E18" s="2"/>
      <c r="F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</row>
  </sheetData>
  <mergeCells count="4">
    <mergeCell ref="A1:E1"/>
    <mergeCell ref="A2:F2"/>
    <mergeCell ref="A13:D13"/>
    <mergeCell ref="A18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4"/>
    <col collapsed="false" customWidth="true" hidden="false" outlineLevel="0" max="5" min="5" style="0" width="6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40</v>
      </c>
      <c r="B4" s="3"/>
      <c r="C4" s="3"/>
    </row>
    <row r="5" customFormat="false" ht="15" hidden="false" customHeight="false" outlineLevel="0" collapsed="false">
      <c r="A5" s="4" t="s">
        <v>41</v>
      </c>
      <c r="B5" s="8" t="n">
        <v>12000</v>
      </c>
    </row>
    <row r="6" customFormat="false" ht="15" hidden="false" customHeight="false" outlineLevel="0" collapsed="false">
      <c r="A6" s="4" t="s">
        <v>42</v>
      </c>
      <c r="B6" s="8" t="n">
        <v>8000</v>
      </c>
    </row>
    <row r="7" customFormat="false" ht="15" hidden="false" customHeight="false" outlineLevel="0" collapsed="false">
      <c r="A7" s="4" t="s">
        <v>43</v>
      </c>
      <c r="B7" s="5" t="n">
        <v>900</v>
      </c>
    </row>
    <row r="8" customFormat="false" ht="15" hidden="false" customHeight="false" outlineLevel="0" collapsed="false">
      <c r="A8" s="4" t="s">
        <v>44</v>
      </c>
      <c r="B8" s="6" t="n">
        <v>0.04</v>
      </c>
    </row>
    <row r="9" customFormat="false" ht="15" hidden="false" customHeight="false" outlineLevel="0" collapsed="false">
      <c r="A9" s="10" t="s">
        <v>45</v>
      </c>
      <c r="B9" s="18" t="n">
        <f aca="false">B5-B6</f>
        <v>4000</v>
      </c>
    </row>
    <row r="10" customFormat="false" ht="15" hidden="false" customHeight="false" outlineLevel="0" collapsed="false">
      <c r="A10" s="4" t="s">
        <v>46</v>
      </c>
      <c r="B10" s="19" t="n">
        <f aca="false">B9/B5</f>
        <v>0.333333333333333</v>
      </c>
    </row>
    <row r="11" customFormat="false" ht="15" hidden="false" customHeight="false" outlineLevel="0" collapsed="false">
      <c r="A11" s="10" t="s">
        <v>47</v>
      </c>
      <c r="B11" s="11" t="n">
        <f aca="false">B9*B7</f>
        <v>3600000</v>
      </c>
    </row>
    <row r="12" customFormat="false" ht="15" hidden="false" customHeight="false" outlineLevel="0" collapsed="false">
      <c r="A12" s="4" t="s">
        <v>48</v>
      </c>
      <c r="B12" s="9" t="n">
        <f aca="false">B11*B8</f>
        <v>144000</v>
      </c>
    </row>
    <row r="14" customFormat="false" ht="15" hidden="false" customHeight="false" outlineLevel="0" collapsed="false">
      <c r="A14" s="3" t="s">
        <v>49</v>
      </c>
      <c r="B14" s="3"/>
      <c r="C14" s="3"/>
      <c r="D14" s="3"/>
      <c r="E14" s="3"/>
    </row>
    <row r="15" customFormat="false" ht="15" hidden="false" customHeight="false" outlineLevel="0" collapsed="false">
      <c r="A15" s="7" t="s">
        <v>50</v>
      </c>
      <c r="B15" s="7" t="s">
        <v>17</v>
      </c>
      <c r="C15" s="7" t="s">
        <v>18</v>
      </c>
      <c r="D15" s="7" t="s">
        <v>19</v>
      </c>
    </row>
    <row r="16" customFormat="false" ht="15" hidden="false" customHeight="false" outlineLevel="0" collapsed="false">
      <c r="A16" s="4" t="s">
        <v>51</v>
      </c>
      <c r="B16" s="6" t="n">
        <v>0.15</v>
      </c>
      <c r="C16" s="6" t="n">
        <v>0.25</v>
      </c>
      <c r="D16" s="6" t="n">
        <v>0.4</v>
      </c>
    </row>
    <row r="17" customFormat="false" ht="15" hidden="false" customHeight="false" outlineLevel="0" collapsed="false">
      <c r="A17" s="4" t="s">
        <v>52</v>
      </c>
      <c r="B17" s="20" t="n">
        <f aca="false">$B$9*B16</f>
        <v>600</v>
      </c>
      <c r="C17" s="20" t="n">
        <f aca="false">$B$9*C16</f>
        <v>1000</v>
      </c>
      <c r="D17" s="20" t="n">
        <f aca="false">$B$9*D16</f>
        <v>1600</v>
      </c>
    </row>
    <row r="18" customFormat="false" ht="15" hidden="false" customHeight="false" outlineLevel="0" collapsed="false">
      <c r="A18" s="4" t="s">
        <v>53</v>
      </c>
      <c r="B18" s="9" t="n">
        <f aca="false">B17*$B$7</f>
        <v>540000</v>
      </c>
      <c r="C18" s="9" t="n">
        <f aca="false">C17*$B$7</f>
        <v>900000</v>
      </c>
      <c r="D18" s="9" t="n">
        <f aca="false">D17*$B$7</f>
        <v>1440000</v>
      </c>
    </row>
    <row r="19" customFormat="false" ht="15" hidden="false" customHeight="false" outlineLevel="0" collapsed="false">
      <c r="A19" s="10" t="s">
        <v>54</v>
      </c>
      <c r="B19" s="13" t="n">
        <f aca="false">B18*$B$8</f>
        <v>21600</v>
      </c>
      <c r="C19" s="13" t="n">
        <f aca="false">C18*$B$8</f>
        <v>36000</v>
      </c>
      <c r="D19" s="13" t="n">
        <f aca="false">D18*$B$8</f>
        <v>57600</v>
      </c>
    </row>
    <row r="20" customFormat="false" ht="15" hidden="false" customHeight="false" outlineLevel="0" collapsed="false">
      <c r="A20" s="10" t="s">
        <v>55</v>
      </c>
      <c r="B20" s="21" t="n">
        <f aca="false">B19*12</f>
        <v>259200</v>
      </c>
      <c r="C20" s="21" t="n">
        <f aca="false">C19*12</f>
        <v>432000</v>
      </c>
      <c r="D20" s="21" t="n">
        <f aca="false">D19*12</f>
        <v>691200</v>
      </c>
    </row>
    <row r="22" customFormat="false" ht="15" hidden="false" customHeight="false" outlineLevel="0" collapsed="false">
      <c r="A22" s="3" t="s">
        <v>56</v>
      </c>
      <c r="B22" s="13" t="n">
        <f aca="false">'Economia Coaph'!C8+C19</f>
        <v>169500</v>
      </c>
    </row>
    <row r="24" customFormat="false" ht="15" hidden="false" customHeight="false" outlineLevel="0" collapsed="false">
      <c r="A24" s="2" t="s">
        <v>57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</row>
  </sheetData>
  <mergeCells count="5">
    <mergeCell ref="A1:F1"/>
    <mergeCell ref="A2:G2"/>
    <mergeCell ref="A4:C4"/>
    <mergeCell ref="A14:E14"/>
    <mergeCell ref="A24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8.55" hidden="false" customHeight="false" outlineLevel="0" collapsed="false">
      <c r="A1" s="1" t="s">
        <v>58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 t="s">
        <v>60</v>
      </c>
      <c r="B4" s="7" t="s">
        <v>17</v>
      </c>
      <c r="C4" s="7" t="s">
        <v>18</v>
      </c>
      <c r="D4" s="7" t="s">
        <v>19</v>
      </c>
    </row>
    <row r="5" customFormat="false" ht="15" hidden="false" customHeight="false" outlineLevel="0" collapsed="false">
      <c r="A5" s="4" t="s">
        <v>61</v>
      </c>
      <c r="B5" s="12" t="n">
        <f aca="false">Premissas!B20*Premissas!$B$6*Premissas!$B$7</f>
        <v>7200</v>
      </c>
      <c r="C5" s="12" t="n">
        <f aca="false">Premissas!C20*Premissas!$B$6*Premissas!$B$7</f>
        <v>10800</v>
      </c>
      <c r="D5" s="12" t="n">
        <f aca="false">Premissas!D20*Premissas!$B$6*Premissas!$B$7</f>
        <v>18000</v>
      </c>
    </row>
    <row r="6" customFormat="false" ht="15" hidden="false" customHeight="false" outlineLevel="0" collapsed="false">
      <c r="A6" s="4" t="s">
        <v>62</v>
      </c>
      <c r="B6" s="12" t="n">
        <f aca="false">Premissas!$B$8</f>
        <v>8000</v>
      </c>
      <c r="C6" s="12" t="n">
        <f aca="false">Premissas!$B$8</f>
        <v>8000</v>
      </c>
      <c r="D6" s="12" t="n">
        <f aca="false">Premissas!$B$8</f>
        <v>8000</v>
      </c>
    </row>
    <row r="7" customFormat="false" ht="15" hidden="false" customHeight="false" outlineLevel="0" collapsed="false">
      <c r="A7" s="10" t="s">
        <v>63</v>
      </c>
      <c r="B7" s="11" t="n">
        <f aca="false">B5+B6</f>
        <v>15200</v>
      </c>
      <c r="C7" s="11" t="n">
        <f aca="false">C5+C6</f>
        <v>18800</v>
      </c>
      <c r="D7" s="11" t="n">
        <f aca="false">D5+D6</f>
        <v>26000</v>
      </c>
    </row>
    <row r="8" customFormat="false" ht="15" hidden="false" customHeight="false" outlineLevel="0" collapsed="false">
      <c r="A8" s="10" t="s">
        <v>64</v>
      </c>
      <c r="B8" s="13" t="n">
        <f aca="false">B7*12</f>
        <v>182400</v>
      </c>
      <c r="C8" s="13" t="n">
        <f aca="false">C7*12</f>
        <v>225600</v>
      </c>
      <c r="D8" s="13" t="n">
        <f aca="false">D7*12</f>
        <v>312000</v>
      </c>
    </row>
  </sheetData>
  <mergeCells count="2">
    <mergeCell ref="A1:E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5"/>
  </cols>
  <sheetData>
    <row r="1" customFormat="false" ht="18.55" hidden="false" customHeight="false" outlineLevel="0" collapsed="false">
      <c r="A1" s="1" t="s">
        <v>65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7"/>
      <c r="B4" s="7" t="s">
        <v>67</v>
      </c>
      <c r="C4" s="7" t="s">
        <v>68</v>
      </c>
      <c r="D4" s="7" t="s">
        <v>69</v>
      </c>
    </row>
    <row r="5" customFormat="false" ht="15" hidden="false" customHeight="false" outlineLevel="0" collapsed="false">
      <c r="A5" s="4" t="s">
        <v>70</v>
      </c>
      <c r="B5" s="8" t="n">
        <v>1</v>
      </c>
      <c r="C5" s="8" t="n">
        <v>5</v>
      </c>
      <c r="D5" s="8" t="n">
        <v>15</v>
      </c>
    </row>
    <row r="6" customFormat="false" ht="15" hidden="false" customHeight="false" outlineLevel="0" collapsed="false">
      <c r="A6" s="4" t="s">
        <v>71</v>
      </c>
      <c r="B6" s="12" t="n">
        <f aca="false">'Receita HM (Coaph)'!C8</f>
        <v>225600</v>
      </c>
      <c r="C6" s="12" t="n">
        <f aca="false">'Receita HM (Coaph)'!C8</f>
        <v>225600</v>
      </c>
      <c r="D6" s="12" t="n">
        <f aca="false">'Receita HM (Coaph)'!C8</f>
        <v>225600</v>
      </c>
    </row>
    <row r="7" customFormat="false" ht="15" hidden="false" customHeight="false" outlineLevel="0" collapsed="false">
      <c r="A7" s="10" t="s">
        <v>72</v>
      </c>
      <c r="B7" s="13" t="n">
        <f aca="false">B5*B6</f>
        <v>225600</v>
      </c>
      <c r="C7" s="13" t="n">
        <f aca="false">C5*C6</f>
        <v>1128000</v>
      </c>
      <c r="D7" s="13" t="n">
        <f aca="false">D5*D6</f>
        <v>3384000</v>
      </c>
    </row>
    <row r="9" customFormat="false" ht="15" hidden="false" customHeight="false" outlineLevel="0" collapsed="false">
      <c r="A9" s="2" t="s">
        <v>73</v>
      </c>
      <c r="B9" s="2"/>
      <c r="C9" s="2"/>
      <c r="D9" s="2"/>
      <c r="E9" s="2"/>
      <c r="F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</row>
  </sheetData>
  <mergeCells count="3">
    <mergeCell ref="A1:E1"/>
    <mergeCell ref="A2:F2"/>
    <mergeCell ref="A9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2"/>
    <col collapsed="false" customWidth="true" hidden="false" outlineLevel="0" max="7" min="6" style="0" width="4"/>
  </cols>
  <sheetData>
    <row r="1" customFormat="false" ht="18.55" hidden="false" customHeight="false" outlineLevel="0" collapsed="false">
      <c r="A1" s="1" t="s">
        <v>74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75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76</v>
      </c>
      <c r="B4" s="22" t="n">
        <v>0.3</v>
      </c>
      <c r="C4" s="22" t="n">
        <v>0.45</v>
      </c>
      <c r="D4" s="22" t="n">
        <v>0.6</v>
      </c>
      <c r="E4" s="22" t="n">
        <v>0.75</v>
      </c>
    </row>
    <row r="5" customFormat="false" ht="15" hidden="false" customHeight="false" outlineLevel="0" collapsed="false">
      <c r="A5" s="23" t="n">
        <v>300</v>
      </c>
      <c r="B5" s="24" t="n">
        <f aca="false">Premissas!$B$15/((Premissas!$B$9*Premissas!$B$10)*0.3)</f>
        <v>59.5238095238095</v>
      </c>
      <c r="C5" s="24" t="n">
        <f aca="false">Premissas!$B$15/((Premissas!$B$9*Premissas!$B$10)*0.45)</f>
        <v>39.6825396825397</v>
      </c>
      <c r="D5" s="24" t="n">
        <f aca="false">Premissas!$B$15/((Premissas!$B$9*Premissas!$B$10)*0.6)</f>
        <v>29.7619047619048</v>
      </c>
      <c r="E5" s="24" t="n">
        <f aca="false">Premissas!$B$15/((Premissas!$B$9*Premissas!$B$10)*0.75)</f>
        <v>23.8095238095238</v>
      </c>
    </row>
    <row r="6" customFormat="false" ht="15" hidden="false" customHeight="false" outlineLevel="0" collapsed="false">
      <c r="A6" s="23" t="n">
        <v>500</v>
      </c>
      <c r="B6" s="24" t="n">
        <f aca="false">Premissas!$B$15/((Premissas!$B$9*Premissas!$B$10)*0.3)</f>
        <v>59.5238095238095</v>
      </c>
      <c r="C6" s="24" t="n">
        <f aca="false">Premissas!$B$15/((Premissas!$B$9*Premissas!$B$10)*0.45)</f>
        <v>39.6825396825397</v>
      </c>
      <c r="D6" s="24" t="n">
        <f aca="false">Premissas!$B$15/((Premissas!$B$9*Premissas!$B$10)*0.6)</f>
        <v>29.7619047619048</v>
      </c>
      <c r="E6" s="24" t="n">
        <f aca="false">Premissas!$B$15/((Premissas!$B$9*Premissas!$B$10)*0.75)</f>
        <v>23.8095238095238</v>
      </c>
    </row>
    <row r="7" customFormat="false" ht="15" hidden="false" customHeight="false" outlineLevel="0" collapsed="false">
      <c r="A7" s="23" t="n">
        <v>700</v>
      </c>
      <c r="B7" s="24" t="n">
        <f aca="false">Premissas!$B$15/((Premissas!$B$9*Premissas!$B$10)*0.3)</f>
        <v>59.5238095238095</v>
      </c>
      <c r="C7" s="24" t="n">
        <f aca="false">Premissas!$B$15/((Premissas!$B$9*Premissas!$B$10)*0.45)</f>
        <v>39.6825396825397</v>
      </c>
      <c r="D7" s="24" t="n">
        <f aca="false">Premissas!$B$15/((Premissas!$B$9*Premissas!$B$10)*0.6)</f>
        <v>29.7619047619048</v>
      </c>
      <c r="E7" s="24" t="n">
        <f aca="false">Premissas!$B$15/((Premissas!$B$9*Premissas!$B$10)*0.75)</f>
        <v>23.8095238095238</v>
      </c>
    </row>
    <row r="8" customFormat="false" ht="15" hidden="false" customHeight="false" outlineLevel="0" collapsed="false">
      <c r="A8" s="23" t="n">
        <v>1000</v>
      </c>
      <c r="B8" s="24" t="n">
        <f aca="false">Premissas!$B$15/((Premissas!$B$9*Premissas!$B$10)*0.3)</f>
        <v>59.5238095238095</v>
      </c>
      <c r="C8" s="24" t="n">
        <f aca="false">Premissas!$B$15/((Premissas!$B$9*Premissas!$B$10)*0.45)</f>
        <v>39.6825396825397</v>
      </c>
      <c r="D8" s="24" t="n">
        <f aca="false">Premissas!$B$15/((Premissas!$B$9*Premissas!$B$10)*0.6)</f>
        <v>29.7619047619048</v>
      </c>
      <c r="E8" s="24" t="n">
        <f aca="false">Premissas!$B$15/((Premissas!$B$9*Premissas!$B$10)*0.75)</f>
        <v>23.8095238095238</v>
      </c>
    </row>
    <row r="9" customFormat="false" ht="15" hidden="false" customHeight="false" outlineLevel="0" collapsed="false">
      <c r="A9" s="23" t="n">
        <v>1500</v>
      </c>
      <c r="B9" s="24" t="n">
        <f aca="false">Premissas!$B$15/((Premissas!$B$9*Premissas!$B$10)*0.3)</f>
        <v>59.5238095238095</v>
      </c>
      <c r="C9" s="24" t="n">
        <f aca="false">Premissas!$B$15/((Premissas!$B$9*Premissas!$B$10)*0.45)</f>
        <v>39.6825396825397</v>
      </c>
      <c r="D9" s="24" t="n">
        <f aca="false">Premissas!$B$15/((Premissas!$B$9*Premissas!$B$10)*0.6)</f>
        <v>29.7619047619048</v>
      </c>
      <c r="E9" s="24" t="n">
        <f aca="false">Premissas!$B$15/((Premissas!$B$9*Premissas!$B$10)*0.75)</f>
        <v>23.8095238095238</v>
      </c>
    </row>
    <row r="11" customFormat="false" ht="15" hidden="false" customHeight="false" outlineLevel="0" collapsed="false">
      <c r="A11" s="2" t="s">
        <v>77</v>
      </c>
      <c r="B11" s="2"/>
      <c r="C11" s="2"/>
      <c r="D11" s="2"/>
      <c r="E11" s="2"/>
      <c r="F11" s="2"/>
      <c r="G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</sheetData>
  <mergeCells count="3">
    <mergeCell ref="A1:G1"/>
    <mergeCell ref="A2:G2"/>
    <mergeCell ref="A11:G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2026-06-26T23:56:05Z</dcterms:created>
  <dc:creator>openpyxl</dc:creator>
  <dc:description/>
  <dc:language>pt-BR</dc:language>
  <cp:lastModifiedBy/>
  <dcterms:modified xsi:type="dcterms:W3CDTF">2026-06-26T23:56:05Z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