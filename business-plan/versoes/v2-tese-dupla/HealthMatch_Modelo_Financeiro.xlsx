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OI Coaph" sheetId="2" state="visible" r:id="rId4"/>
    <sheet name="Cenários" sheetId="3" state="visible" r:id="rId5"/>
    <sheet name="DRE (Realista)" sheetId="4" state="visible" r:id="rId6"/>
    <sheet name="Métricas" sheetId="5" state="visible" r:id="rId7"/>
    <sheet name="Uso dos Recurs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<sst xmlns="http://schemas.openxmlformats.org/spreadsheetml/2006/main" count="150" uniqueCount="95">
  <si>
    <t xml:space="preserve">HealthMatch — Modelo Financeiro (Pre-seed)</t>
  </si>
  <si>
    <t xml:space="preserve">Azul = premissa editável · Preto = fórmula · Verde = link entre abas · Valores em R$ · Pré-lançamento: tudo é premissa de mercado</t>
  </si>
  <si>
    <t xml:space="preserve">Premissas globais</t>
  </si>
  <si>
    <t xml:space="preserve">Ticket médio por plantão (GMV)</t>
  </si>
  <si>
    <t xml:space="preserve">ARPA SaaS (mensal por conta)</t>
  </si>
  <si>
    <t xml:space="preserve">Margem bruta (blended)</t>
  </si>
  <si>
    <t xml:space="preserve">Meses por ano</t>
  </si>
  <si>
    <t xml:space="preserve">Drivers por cenário</t>
  </si>
  <si>
    <t xml:space="preserve">Driver</t>
  </si>
  <si>
    <t xml:space="preserve">Cenário</t>
  </si>
  <si>
    <t xml:space="preserve">Ano 1</t>
  </si>
  <si>
    <t xml:space="preserve">Ano 2</t>
  </si>
  <si>
    <t xml:space="preserve">Ano 3</t>
  </si>
  <si>
    <t xml:space="preserve">Plantões/mês (média)</t>
  </si>
  <si>
    <t xml:space="preserve">Conservador</t>
  </si>
  <si>
    <t xml:space="preserve">Realista</t>
  </si>
  <si>
    <t xml:space="preserve">Otimista</t>
  </si>
  <si>
    <t xml:space="preserve">Take-rate (% do GMV)</t>
  </si>
  <si>
    <t xml:space="preserve">Contas SaaS (média ano)</t>
  </si>
  <si>
    <t xml:space="preserve">Opex — cenário Realista (R$/ano)</t>
  </si>
  <si>
    <t xml:space="preserve">Linha</t>
  </si>
  <si>
    <t xml:space="preserve">Pessoal</t>
  </si>
  <si>
    <t xml:space="preserve">Marketing &amp; Vendas</t>
  </si>
  <si>
    <t xml:space="preserve">Infra &amp; ferramentas</t>
  </si>
  <si>
    <t xml:space="preserve">G&amp;A / jurídico / contábil</t>
  </si>
  <si>
    <t xml:space="preserve">Opex total</t>
  </si>
  <si>
    <t xml:space="preserve">ROI Coaph — Economia Operacional (tese defensiva)</t>
  </si>
  <si>
    <t xml:space="preserve">Economia na operação da PRÓPRIA Coaph ao automatizar a gestão de plantões. NÃO é receita do HealthMatch — é a justificativa estratégica do investimento pela Coaph (paga-se mesmo sem escala externa).</t>
  </si>
  <si>
    <t xml:space="preserve">Premissas (editáveis)</t>
  </si>
  <si>
    <t xml:space="preserve">Custo atual/mês com prepostos e operação manual</t>
  </si>
  <si>
    <t xml:space="preserve">Investimento total (pre-seed)</t>
  </si>
  <si>
    <t xml:space="preserve">Custo anual atual com prepostos</t>
  </si>
  <si>
    <t xml:space="preserve">Cenários de economia → payback do investimento</t>
  </si>
  <si>
    <t xml:space="preserve">% economia</t>
  </si>
  <si>
    <t xml:space="preserve">Economia/mês</t>
  </si>
  <si>
    <t xml:space="preserve">Economia/ano</t>
  </si>
  <si>
    <t xml:space="preserve">Payback (meses)</t>
  </si>
  <si>
    <t xml:space="preserve">ROI anual</t>
  </si>
  <si>
    <t xml:space="preserve">Teto teórico (não usar como base)</t>
  </si>
  <si>
    <t xml:space="preserve">Base de defesa do investimento: 25% (conservador) a 50% (realista). 100% é teto teórico — exigiria redesenho operacional total e NÃO deve ser premissa-base.</t>
  </si>
  <si>
    <t xml:space="preserve">Importante: esta economia NÃO se soma à receita do HealthMatch (abas Cenários/DRE). São lentes distintas — a economia justifica o aporte da Coaph; a receita é o upside da escala externa.</t>
  </si>
  <si>
    <t xml:space="preserve">Projeção de receita — 3 cenários</t>
  </si>
  <si>
    <t xml:space="preserve">Receita líquida = Take-rate sobre GMV + Receita SaaS. GMV = plantões × ticket. (links em verde puxam da aba Premissas)</t>
  </si>
  <si>
    <t xml:space="preserve">Métrica</t>
  </si>
  <si>
    <t xml:space="preserve">GMV (R$)</t>
  </si>
  <si>
    <t xml:space="preserve">Receita de fee (take-rate)</t>
  </si>
  <si>
    <t xml:space="preserve">Receita SaaS (assinatura)</t>
  </si>
  <si>
    <t xml:space="preserve">Receita líquida total</t>
  </si>
  <si>
    <t xml:space="preserve">Resumo — Receita líquida por cenário</t>
  </si>
  <si>
    <t xml:space="preserve">DRE — cenário Realista</t>
  </si>
  <si>
    <t xml:space="preserve">Demonstração resumida. COGS via margem bruta (premissa). Opex puxado da aba Premissas.</t>
  </si>
  <si>
    <t xml:space="preserve">Linha (R$)</t>
  </si>
  <si>
    <t xml:space="preserve">Receita líquida</t>
  </si>
  <si>
    <t xml:space="preserve">(–) COGS</t>
  </si>
  <si>
    <t xml:space="preserve">Lucro bruto</t>
  </si>
  <si>
    <t xml:space="preserve">Margem bruta %</t>
  </si>
  <si>
    <t xml:space="preserve">(–) Pessoal</t>
  </si>
  <si>
    <t xml:space="preserve">(–) Marketing &amp; Vendas</t>
  </si>
  <si>
    <t xml:space="preserve">(–) Infra &amp; ferramentas</t>
  </si>
  <si>
    <t xml:space="preserve">(–) G&amp;A / jurídico</t>
  </si>
  <si>
    <t xml:space="preserve">EBITDA</t>
  </si>
  <si>
    <t xml:space="preserve">Margem EBITDA %</t>
  </si>
  <si>
    <t xml:space="preserve">Unit economics (visão SaaS-only, conservadora)</t>
  </si>
  <si>
    <t xml:space="preserve">Visão SaaS-only para ser defensável. Economia blended (com take-rate) é maior, mas limitada por liquidez.</t>
  </si>
  <si>
    <t xml:space="preserve">Valor</t>
  </si>
  <si>
    <t xml:space="preserve">Unidade</t>
  </si>
  <si>
    <t xml:space="preserve">ARPA (mensal)</t>
  </si>
  <si>
    <t xml:space="preserve">R$/mês</t>
  </si>
  <si>
    <t xml:space="preserve">Margem bruta SaaS</t>
  </si>
  <si>
    <t xml:space="preserve">%</t>
  </si>
  <si>
    <t xml:space="preserve">CAC por conta institucional</t>
  </si>
  <si>
    <t xml:space="preserve">R$</t>
  </si>
  <si>
    <t xml:space="preserve">Churn anual (logo)</t>
  </si>
  <si>
    <t xml:space="preserve">Horizonte de LTV (cap)</t>
  </si>
  <si>
    <t xml:space="preserve">meses</t>
  </si>
  <si>
    <t xml:space="preserve">Resultados</t>
  </si>
  <si>
    <t xml:space="preserve">Churn mensal</t>
  </si>
  <si>
    <t xml:space="preserve">Contribuição mensal/conta</t>
  </si>
  <si>
    <t xml:space="preserve">LTV (36m, capado)</t>
  </si>
  <si>
    <t xml:space="preserve">LTV / CAC</t>
  </si>
  <si>
    <t xml:space="preserve">Payback de CAC (meses)</t>
  </si>
  <si>
    <t xml:space="preserve">CAC de profissionais (oferta) na âncora</t>
  </si>
  <si>
    <t xml:space="preserve">≈ R$ 0 — base de 55k cooperados pré-existente</t>
  </si>
  <si>
    <t xml:space="preserve">Uso dos recursos — Pre-seed</t>
  </si>
  <si>
    <t xml:space="preserve">Captação total (R$)</t>
  </si>
  <si>
    <t xml:space="preserve">Destino</t>
  </si>
  <si>
    <t xml:space="preserve">Valor (R$)</t>
  </si>
  <si>
    <t xml:space="preserve">Produto &amp; Engenharia</t>
  </si>
  <si>
    <t xml:space="preserve">GTM (Vendas &amp; Marketing)</t>
  </si>
  <si>
    <t xml:space="preserve">Infra &amp; COGS iniciais</t>
  </si>
  <si>
    <t xml:space="preserve">Jurídico / Compliance / LGPD</t>
  </si>
  <si>
    <t xml:space="preserve">Reserva / contingência</t>
  </si>
  <si>
    <t xml:space="preserve">Total</t>
  </si>
  <si>
    <t xml:space="preserve">Runway-alvo (meses)</t>
  </si>
  <si>
    <t xml:space="preserve">Burn médio Ano 1 (DRE)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</si>
</sst>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;&quot;(R$ &quot;#,##0\);\-"/>
    <numFmt numFmtId="166" formatCode="0.0%"/>
    <numFmt numFmtId="167" formatCode="#,##0;\(#,##0\);\-"/>
    <numFmt numFmtId="168" formatCode="#,##0.0"/>
    <numFmt numFmtId="169" formatCode="&quot;R$ &quot;#,##0.0,,&quot; mi&quot;;&quot;(R$ &quot;#,##0.0,,&quot; mi)&quot;;\-"/>
    <numFmt numFmtId="170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D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B2D5B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D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1300</v>
      </c>
    </row>
    <row r="6" customFormat="false" ht="15" hidden="false" customHeight="false" outlineLevel="0" collapsed="false">
      <c r="A6" s="4" t="s">
        <v>4</v>
      </c>
      <c r="B6" s="5" t="n">
        <v>4000</v>
      </c>
    </row>
    <row r="7" customFormat="false" ht="15" hidden="false" customHeight="false" outlineLevel="0" collapsed="false">
      <c r="A7" s="4" t="s">
        <v>5</v>
      </c>
      <c r="B7" s="6" t="n">
        <v>0.68</v>
      </c>
    </row>
    <row r="8" customFormat="false" ht="15" hidden="false" customHeight="false" outlineLevel="0" collapsed="false">
      <c r="A8" s="4" t="s">
        <v>6</v>
      </c>
      <c r="B8" s="7" t="n">
        <v>12</v>
      </c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8" t="s">
        <v>8</v>
      </c>
      <c r="B12" s="8" t="s">
        <v>9</v>
      </c>
      <c r="C12" s="8" t="s">
        <v>10</v>
      </c>
      <c r="D12" s="8" t="s">
        <v>11</v>
      </c>
      <c r="E12" s="8" t="s">
        <v>12</v>
      </c>
    </row>
    <row r="13" customFormat="false" ht="15" hidden="false" customHeight="false" outlineLevel="0" collapsed="false">
      <c r="A13" s="4" t="s">
        <v>13</v>
      </c>
      <c r="B13" s="4" t="s">
        <v>14</v>
      </c>
      <c r="C13" s="7" t="n">
        <v>400</v>
      </c>
      <c r="D13" s="7" t="n">
        <v>2200</v>
      </c>
      <c r="E13" s="7" t="n">
        <v>6000</v>
      </c>
    </row>
    <row r="14" customFormat="false" ht="15" hidden="false" customHeight="false" outlineLevel="0" collapsed="false">
      <c r="A14" s="4" t="s">
        <v>13</v>
      </c>
      <c r="B14" s="4" t="s">
        <v>15</v>
      </c>
      <c r="C14" s="7" t="n">
        <v>800</v>
      </c>
      <c r="D14" s="7" t="n">
        <v>4500</v>
      </c>
      <c r="E14" s="7" t="n">
        <v>12000</v>
      </c>
    </row>
    <row r="15" customFormat="false" ht="15" hidden="false" customHeight="false" outlineLevel="0" collapsed="false">
      <c r="A15" s="4" t="s">
        <v>13</v>
      </c>
      <c r="B15" s="4" t="s">
        <v>16</v>
      </c>
      <c r="C15" s="7" t="n">
        <v>1300</v>
      </c>
      <c r="D15" s="7" t="n">
        <v>8000</v>
      </c>
      <c r="E15" s="7" t="n">
        <v>22000</v>
      </c>
    </row>
    <row r="16" customFormat="false" ht="15" hidden="false" customHeight="false" outlineLevel="0" collapsed="false">
      <c r="A16" s="4" t="s">
        <v>17</v>
      </c>
      <c r="B16" s="4" t="s">
        <v>14</v>
      </c>
      <c r="C16" s="6" t="n">
        <v>0.05</v>
      </c>
      <c r="D16" s="6" t="n">
        <v>0.05</v>
      </c>
      <c r="E16" s="6" t="n">
        <v>0.05</v>
      </c>
    </row>
    <row r="17" customFormat="false" ht="15" hidden="false" customHeight="false" outlineLevel="0" collapsed="false">
      <c r="A17" s="4" t="s">
        <v>17</v>
      </c>
      <c r="B17" s="4" t="s">
        <v>15</v>
      </c>
      <c r="C17" s="6" t="n">
        <v>0.07</v>
      </c>
      <c r="D17" s="6" t="n">
        <v>0.07</v>
      </c>
      <c r="E17" s="6" t="n">
        <v>0.07</v>
      </c>
    </row>
    <row r="18" customFormat="false" ht="15" hidden="false" customHeight="false" outlineLevel="0" collapsed="false">
      <c r="A18" s="4" t="s">
        <v>17</v>
      </c>
      <c r="B18" s="4" t="s">
        <v>16</v>
      </c>
      <c r="C18" s="6" t="n">
        <v>0.08</v>
      </c>
      <c r="D18" s="6" t="n">
        <v>0.08</v>
      </c>
      <c r="E18" s="6" t="n">
        <v>0.08</v>
      </c>
    </row>
    <row r="19" customFormat="false" ht="15" hidden="false" customHeight="false" outlineLevel="0" collapsed="false">
      <c r="A19" s="4" t="s">
        <v>18</v>
      </c>
      <c r="B19" s="4" t="s">
        <v>14</v>
      </c>
      <c r="C19" s="9" t="n">
        <v>2.5</v>
      </c>
      <c r="D19" s="9" t="n">
        <v>11.25</v>
      </c>
      <c r="E19" s="9" t="n">
        <v>35.42</v>
      </c>
    </row>
    <row r="20" customFormat="false" ht="15" hidden="false" customHeight="false" outlineLevel="0" collapsed="false">
      <c r="A20" s="4" t="s">
        <v>18</v>
      </c>
      <c r="B20" s="4" t="s">
        <v>15</v>
      </c>
      <c r="C20" s="9" t="n">
        <v>4.5</v>
      </c>
      <c r="D20" s="9" t="n">
        <v>22.5</v>
      </c>
      <c r="E20" s="9" t="n">
        <v>70</v>
      </c>
    </row>
    <row r="21" customFormat="false" ht="15" hidden="false" customHeight="false" outlineLevel="0" collapsed="false">
      <c r="A21" s="4" t="s">
        <v>18</v>
      </c>
      <c r="B21" s="4" t="s">
        <v>16</v>
      </c>
      <c r="C21" s="9" t="n">
        <v>7.5</v>
      </c>
      <c r="D21" s="9" t="n">
        <v>39.58</v>
      </c>
      <c r="E21" s="9" t="n">
        <v>120.83</v>
      </c>
    </row>
    <row r="23" customFormat="false" ht="15" hidden="false" customHeight="false" outlineLevel="0" collapsed="false">
      <c r="A23" s="3" t="s">
        <v>19</v>
      </c>
      <c r="B23" s="3"/>
      <c r="C23" s="3"/>
      <c r="D23" s="3"/>
      <c r="E23" s="3"/>
    </row>
    <row r="24" customFormat="false" ht="15" hidden="false" customHeight="false" outlineLevel="0" collapsed="false">
      <c r="A24" s="8" t="s">
        <v>20</v>
      </c>
      <c r="B24" s="8"/>
      <c r="C24" s="8" t="s">
        <v>10</v>
      </c>
      <c r="D24" s="8" t="s">
        <v>11</v>
      </c>
      <c r="E24" s="8" t="s">
        <v>12</v>
      </c>
    </row>
    <row r="25" customFormat="false" ht="15" hidden="false" customHeight="false" outlineLevel="0" collapsed="false">
      <c r="A25" s="4" t="s">
        <v>21</v>
      </c>
      <c r="C25" s="5" t="n">
        <v>1100000</v>
      </c>
      <c r="D25" s="5" t="n">
        <v>2400000</v>
      </c>
      <c r="E25" s="5" t="n">
        <v>4800000</v>
      </c>
    </row>
    <row r="26" customFormat="false" ht="15" hidden="false" customHeight="false" outlineLevel="0" collapsed="false">
      <c r="A26" s="4" t="s">
        <v>22</v>
      </c>
      <c r="C26" s="5" t="n">
        <v>150000</v>
      </c>
      <c r="D26" s="5" t="n">
        <v>600000</v>
      </c>
      <c r="E26" s="5" t="n">
        <v>1800000</v>
      </c>
    </row>
    <row r="27" customFormat="false" ht="15" hidden="false" customHeight="false" outlineLevel="0" collapsed="false">
      <c r="A27" s="4" t="s">
        <v>23</v>
      </c>
      <c r="C27" s="5" t="n">
        <v>120000</v>
      </c>
      <c r="D27" s="5" t="n">
        <v>300000</v>
      </c>
      <c r="E27" s="5" t="n">
        <v>700000</v>
      </c>
    </row>
    <row r="28" customFormat="false" ht="15" hidden="false" customHeight="false" outlineLevel="0" collapsed="false">
      <c r="A28" s="4" t="s">
        <v>24</v>
      </c>
      <c r="C28" s="5" t="n">
        <v>120000</v>
      </c>
      <c r="D28" s="5" t="n">
        <v>300000</v>
      </c>
      <c r="E28" s="5" t="n">
        <v>700000</v>
      </c>
    </row>
    <row r="29" customFormat="false" ht="15" hidden="false" customHeight="false" outlineLevel="0" collapsed="false">
      <c r="A29" s="10" t="s">
        <v>25</v>
      </c>
      <c r="C29" s="11" t="n">
        <f aca="false">SUM(C25:C28)</f>
        <v>1490000</v>
      </c>
      <c r="D29" s="11" t="n">
        <f aca="false">SUM(D25:D28)</f>
        <v>3600000</v>
      </c>
      <c r="E29" s="11" t="n">
        <f aca="false">SUM(E25:E28)</f>
        <v>8000000</v>
      </c>
    </row>
  </sheetData>
  <mergeCells count="5">
    <mergeCell ref="A1:F1"/>
    <mergeCell ref="A2:G2"/>
    <mergeCell ref="A4:C4"/>
    <mergeCell ref="A11:G11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8.55" hidden="false" customHeight="false" outlineLevel="0" collapsed="false">
      <c r="A1" s="1" t="s">
        <v>26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28</v>
      </c>
      <c r="B4" s="3"/>
      <c r="C4" s="3"/>
    </row>
    <row r="5" customFormat="false" ht="15" hidden="false" customHeight="false" outlineLevel="0" collapsed="false">
      <c r="A5" s="4" t="s">
        <v>29</v>
      </c>
      <c r="B5" s="5" t="n">
        <v>240000</v>
      </c>
    </row>
    <row r="6" customFormat="false" ht="15" hidden="false" customHeight="false" outlineLevel="0" collapsed="false">
      <c r="A6" s="4" t="s">
        <v>30</v>
      </c>
      <c r="B6" s="5" t="n">
        <v>1500000</v>
      </c>
    </row>
    <row r="7" customFormat="false" ht="15" hidden="false" customHeight="false" outlineLevel="0" collapsed="false">
      <c r="A7" s="4" t="s">
        <v>31</v>
      </c>
      <c r="B7" s="12" t="n">
        <f aca="false">B5*12</f>
        <v>2880000</v>
      </c>
    </row>
    <row r="9" customFormat="false" ht="15" hidden="false" customHeight="false" outlineLevel="0" collapsed="false">
      <c r="A9" s="3" t="s">
        <v>32</v>
      </c>
      <c r="B9" s="3"/>
      <c r="C9" s="3"/>
      <c r="D9" s="3"/>
      <c r="E9" s="3"/>
      <c r="F9" s="3"/>
    </row>
    <row r="10" customFormat="false" ht="26.85" hidden="false" customHeight="false" outlineLevel="0" collapsed="false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</row>
    <row r="11" customFormat="false" ht="15" hidden="false" customHeight="false" outlineLevel="0" collapsed="false">
      <c r="A11" s="4" t="s">
        <v>14</v>
      </c>
      <c r="B11" s="6" t="n">
        <v>0.25</v>
      </c>
      <c r="C11" s="13" t="n">
        <f aca="false">$B$5*B11</f>
        <v>60000</v>
      </c>
      <c r="D11" s="13" t="n">
        <f aca="false">C11*12</f>
        <v>720000</v>
      </c>
      <c r="E11" s="14" t="n">
        <f aca="false">$B$6/C11</f>
        <v>25</v>
      </c>
      <c r="F11" s="15" t="n">
        <f aca="false">D11/$B$6</f>
        <v>0.48</v>
      </c>
    </row>
    <row r="12" customFormat="false" ht="15" hidden="false" customHeight="false" outlineLevel="0" collapsed="false">
      <c r="A12" s="3" t="s">
        <v>15</v>
      </c>
      <c r="B12" s="6" t="n">
        <v>0.5</v>
      </c>
      <c r="C12" s="16" t="n">
        <f aca="false">$B$5*B12</f>
        <v>120000</v>
      </c>
      <c r="D12" s="13" t="n">
        <f aca="false">C12*12</f>
        <v>1440000</v>
      </c>
      <c r="E12" s="17" t="n">
        <f aca="false">$B$6/C12</f>
        <v>12.5</v>
      </c>
      <c r="F12" s="15" t="n">
        <f aca="false">D12/$B$6</f>
        <v>0.96</v>
      </c>
    </row>
    <row r="13" customFormat="false" ht="15" hidden="false" customHeight="false" outlineLevel="0" collapsed="false">
      <c r="A13" s="4" t="s">
        <v>16</v>
      </c>
      <c r="B13" s="6" t="n">
        <v>0.75</v>
      </c>
      <c r="C13" s="13" t="n">
        <f aca="false">$B$5*B13</f>
        <v>180000</v>
      </c>
      <c r="D13" s="13" t="n">
        <f aca="false">C13*12</f>
        <v>2160000</v>
      </c>
      <c r="E13" s="14" t="n">
        <f aca="false">$B$6/C13</f>
        <v>8.33333333333333</v>
      </c>
      <c r="F13" s="15" t="n">
        <f aca="false">D13/$B$6</f>
        <v>1.44</v>
      </c>
    </row>
    <row r="14" customFormat="false" ht="15" hidden="false" customHeight="false" outlineLevel="0" collapsed="false">
      <c r="A14" s="4" t="s">
        <v>38</v>
      </c>
      <c r="B14" s="6" t="n">
        <v>1</v>
      </c>
      <c r="C14" s="13" t="n">
        <f aca="false">$B$5*B14</f>
        <v>240000</v>
      </c>
      <c r="D14" s="13" t="n">
        <f aca="false">C14*12</f>
        <v>2880000</v>
      </c>
      <c r="E14" s="14" t="n">
        <f aca="false">$B$6/C14</f>
        <v>6.25</v>
      </c>
      <c r="F14" s="15" t="n">
        <f aca="false">D14/$B$6</f>
        <v>1.92</v>
      </c>
    </row>
    <row r="16" customFormat="false" ht="15" hidden="false" customHeight="false" outlineLevel="0" collapsed="false">
      <c r="A16" s="2" t="s">
        <v>39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2" t="s">
        <v>40</v>
      </c>
      <c r="B17" s="2"/>
      <c r="C17" s="2"/>
      <c r="D17" s="2"/>
      <c r="E17" s="2"/>
      <c r="F17" s="2"/>
    </row>
  </sheetData>
  <mergeCells count="6">
    <mergeCell ref="A1:F1"/>
    <mergeCell ref="A2:F2"/>
    <mergeCell ref="A4:C4"/>
    <mergeCell ref="A9:F9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18.55" hidden="false" customHeight="false" outlineLevel="0" collapsed="false">
      <c r="A1" s="1" t="s">
        <v>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8" t="s">
        <v>14</v>
      </c>
      <c r="B4" s="18"/>
      <c r="C4" s="18"/>
      <c r="D4" s="18"/>
    </row>
    <row r="5" customFormat="false" ht="15" hidden="false" customHeight="false" outlineLevel="0" collapsed="false">
      <c r="A5" s="19" t="s">
        <v>43</v>
      </c>
      <c r="B5" s="19" t="s">
        <v>10</v>
      </c>
      <c r="C5" s="19" t="s">
        <v>11</v>
      </c>
      <c r="D5" s="19" t="s">
        <v>12</v>
      </c>
    </row>
    <row r="6" customFormat="false" ht="15" hidden="false" customHeight="false" outlineLevel="0" collapsed="false">
      <c r="A6" s="4" t="s">
        <v>44</v>
      </c>
      <c r="B6" s="20" t="n">
        <f aca="false">Premissas!C13*Premissas!$B$8*Premissas!$B$5</f>
        <v>6240000</v>
      </c>
      <c r="C6" s="20" t="n">
        <f aca="false">Premissas!D13*Premissas!$B$8*Premissas!$B$5</f>
        <v>34320000</v>
      </c>
      <c r="D6" s="20" t="n">
        <f aca="false">Premissas!E13*Premissas!$B$8*Premissas!$B$5</f>
        <v>93600000</v>
      </c>
    </row>
    <row r="7" customFormat="false" ht="15" hidden="false" customHeight="false" outlineLevel="0" collapsed="false">
      <c r="A7" s="4" t="s">
        <v>45</v>
      </c>
      <c r="B7" s="13" t="n">
        <f aca="false">B6*Premissas!C16</f>
        <v>312000</v>
      </c>
      <c r="C7" s="13" t="n">
        <f aca="false">C6*Premissas!D16</f>
        <v>1716000</v>
      </c>
      <c r="D7" s="13" t="n">
        <f aca="false">D6*Premissas!E16</f>
        <v>4680000</v>
      </c>
    </row>
    <row r="8" customFormat="false" ht="15" hidden="false" customHeight="false" outlineLevel="0" collapsed="false">
      <c r="A8" s="4" t="s">
        <v>46</v>
      </c>
      <c r="B8" s="20" t="n">
        <f aca="false">Premissas!C19*Premissas!$B$6*Premissas!$B$8</f>
        <v>120000</v>
      </c>
      <c r="C8" s="20" t="n">
        <f aca="false">Premissas!D19*Premissas!$B$6*Premissas!$B$8</f>
        <v>540000</v>
      </c>
      <c r="D8" s="20" t="n">
        <f aca="false">Premissas!E19*Premissas!$B$6*Premissas!$B$8</f>
        <v>1700160</v>
      </c>
    </row>
    <row r="9" customFormat="false" ht="15" hidden="false" customHeight="false" outlineLevel="0" collapsed="false">
      <c r="A9" s="10" t="s">
        <v>47</v>
      </c>
      <c r="B9" s="11" t="n">
        <f aca="false">B7+B8</f>
        <v>432000</v>
      </c>
      <c r="C9" s="11" t="n">
        <f aca="false">C7+C8</f>
        <v>2256000</v>
      </c>
      <c r="D9" s="11" t="n">
        <f aca="false">D7+D8</f>
        <v>6380160</v>
      </c>
    </row>
    <row r="11" customFormat="false" ht="15" hidden="false" customHeight="false" outlineLevel="0" collapsed="false">
      <c r="A11" s="18" t="s">
        <v>15</v>
      </c>
      <c r="B11" s="18"/>
      <c r="C11" s="18"/>
      <c r="D11" s="18"/>
    </row>
    <row r="12" customFormat="false" ht="15" hidden="false" customHeight="false" outlineLevel="0" collapsed="false">
      <c r="A12" s="19" t="s">
        <v>43</v>
      </c>
      <c r="B12" s="19" t="s">
        <v>10</v>
      </c>
      <c r="C12" s="19" t="s">
        <v>11</v>
      </c>
      <c r="D12" s="19" t="s">
        <v>12</v>
      </c>
    </row>
    <row r="13" customFormat="false" ht="15" hidden="false" customHeight="false" outlineLevel="0" collapsed="false">
      <c r="A13" s="4" t="s">
        <v>44</v>
      </c>
      <c r="B13" s="20" t="n">
        <f aca="false">Premissas!C14*Premissas!$B$8*Premissas!$B$5</f>
        <v>12480000</v>
      </c>
      <c r="C13" s="20" t="n">
        <f aca="false">Premissas!D14*Premissas!$B$8*Premissas!$B$5</f>
        <v>70200000</v>
      </c>
      <c r="D13" s="20" t="n">
        <f aca="false">Premissas!E14*Premissas!$B$8*Premissas!$B$5</f>
        <v>187200000</v>
      </c>
    </row>
    <row r="14" customFormat="false" ht="15" hidden="false" customHeight="false" outlineLevel="0" collapsed="false">
      <c r="A14" s="4" t="s">
        <v>45</v>
      </c>
      <c r="B14" s="13" t="n">
        <f aca="false">B13*Premissas!C17</f>
        <v>873600</v>
      </c>
      <c r="C14" s="13" t="n">
        <f aca="false">C13*Premissas!D17</f>
        <v>4914000</v>
      </c>
      <c r="D14" s="13" t="n">
        <f aca="false">D13*Premissas!E17</f>
        <v>13104000</v>
      </c>
    </row>
    <row r="15" customFormat="false" ht="15" hidden="false" customHeight="false" outlineLevel="0" collapsed="false">
      <c r="A15" s="4" t="s">
        <v>46</v>
      </c>
      <c r="B15" s="20" t="n">
        <f aca="false">Premissas!C20*Premissas!$B$6*Premissas!$B$8</f>
        <v>216000</v>
      </c>
      <c r="C15" s="20" t="n">
        <f aca="false">Premissas!D20*Premissas!$B$6*Premissas!$B$8</f>
        <v>1080000</v>
      </c>
      <c r="D15" s="20" t="n">
        <f aca="false">Premissas!E20*Premissas!$B$6*Premissas!$B$8</f>
        <v>3360000</v>
      </c>
    </row>
    <row r="16" customFormat="false" ht="15" hidden="false" customHeight="false" outlineLevel="0" collapsed="false">
      <c r="A16" s="10" t="s">
        <v>47</v>
      </c>
      <c r="B16" s="11" t="n">
        <f aca="false">B14+B15</f>
        <v>1089600</v>
      </c>
      <c r="C16" s="11" t="n">
        <f aca="false">C14+C15</f>
        <v>5994000</v>
      </c>
      <c r="D16" s="11" t="n">
        <f aca="false">D14+D15</f>
        <v>16464000</v>
      </c>
    </row>
    <row r="18" customFormat="false" ht="15" hidden="false" customHeight="false" outlineLevel="0" collapsed="false">
      <c r="A18" s="18" t="s">
        <v>16</v>
      </c>
      <c r="B18" s="18"/>
      <c r="C18" s="18"/>
      <c r="D18" s="18"/>
    </row>
    <row r="19" customFormat="false" ht="15" hidden="false" customHeight="false" outlineLevel="0" collapsed="false">
      <c r="A19" s="19" t="s">
        <v>43</v>
      </c>
      <c r="B19" s="19" t="s">
        <v>10</v>
      </c>
      <c r="C19" s="19" t="s">
        <v>11</v>
      </c>
      <c r="D19" s="19" t="s">
        <v>12</v>
      </c>
    </row>
    <row r="20" customFormat="false" ht="15" hidden="false" customHeight="false" outlineLevel="0" collapsed="false">
      <c r="A20" s="4" t="s">
        <v>44</v>
      </c>
      <c r="B20" s="20" t="n">
        <f aca="false">Premissas!C15*Premissas!$B$8*Premissas!$B$5</f>
        <v>20280000</v>
      </c>
      <c r="C20" s="20" t="n">
        <f aca="false">Premissas!D15*Premissas!$B$8*Premissas!$B$5</f>
        <v>124800000</v>
      </c>
      <c r="D20" s="20" t="n">
        <f aca="false">Premissas!E15*Premissas!$B$8*Premissas!$B$5</f>
        <v>343200000</v>
      </c>
    </row>
    <row r="21" customFormat="false" ht="15" hidden="false" customHeight="false" outlineLevel="0" collapsed="false">
      <c r="A21" s="4" t="s">
        <v>45</v>
      </c>
      <c r="B21" s="13" t="n">
        <f aca="false">B20*Premissas!C18</f>
        <v>1622400</v>
      </c>
      <c r="C21" s="13" t="n">
        <f aca="false">C20*Premissas!D18</f>
        <v>9984000</v>
      </c>
      <c r="D21" s="13" t="n">
        <f aca="false">D20*Premissas!E18</f>
        <v>27456000</v>
      </c>
    </row>
    <row r="22" customFormat="false" ht="15" hidden="false" customHeight="false" outlineLevel="0" collapsed="false">
      <c r="A22" s="4" t="s">
        <v>46</v>
      </c>
      <c r="B22" s="20" t="n">
        <f aca="false">Premissas!C21*Premissas!$B$6*Premissas!$B$8</f>
        <v>360000</v>
      </c>
      <c r="C22" s="20" t="n">
        <f aca="false">Premissas!D21*Premissas!$B$6*Premissas!$B$8</f>
        <v>1899840</v>
      </c>
      <c r="D22" s="20" t="n">
        <f aca="false">Premissas!E21*Premissas!$B$6*Premissas!$B$8</f>
        <v>5799840</v>
      </c>
    </row>
    <row r="23" customFormat="false" ht="15" hidden="false" customHeight="false" outlineLevel="0" collapsed="false">
      <c r="A23" s="10" t="s">
        <v>47</v>
      </c>
      <c r="B23" s="11" t="n">
        <f aca="false">B21+B22</f>
        <v>1982400</v>
      </c>
      <c r="C23" s="11" t="n">
        <f aca="false">C21+C22</f>
        <v>11883840</v>
      </c>
      <c r="D23" s="11" t="n">
        <f aca="false">D21+D22</f>
        <v>33255840</v>
      </c>
    </row>
    <row r="24" customFormat="false" ht="15" hidden="false" customHeight="false" outlineLevel="0" collapsed="false">
      <c r="A24" s="3" t="s">
        <v>48</v>
      </c>
      <c r="B24" s="3"/>
      <c r="C24" s="3"/>
      <c r="D24" s="3"/>
    </row>
    <row r="25" customFormat="false" ht="15" hidden="false" customHeight="false" outlineLevel="0" collapsed="false">
      <c r="A25" s="19" t="s">
        <v>9</v>
      </c>
      <c r="B25" s="19" t="s">
        <v>10</v>
      </c>
      <c r="C25" s="19" t="s">
        <v>11</v>
      </c>
      <c r="D25" s="19" t="s">
        <v>12</v>
      </c>
    </row>
    <row r="26" customFormat="false" ht="15" hidden="false" customHeight="false" outlineLevel="0" collapsed="false">
      <c r="A26" s="4" t="s">
        <v>14</v>
      </c>
      <c r="B26" s="21" t="n">
        <f aca="false">B9</f>
        <v>432000</v>
      </c>
      <c r="C26" s="21" t="n">
        <f aca="false">C9</f>
        <v>2256000</v>
      </c>
      <c r="D26" s="21" t="n">
        <f aca="false">D9</f>
        <v>6380160</v>
      </c>
    </row>
    <row r="27" customFormat="false" ht="15" hidden="false" customHeight="false" outlineLevel="0" collapsed="false">
      <c r="A27" s="4" t="s">
        <v>15</v>
      </c>
      <c r="B27" s="21" t="n">
        <f aca="false">B16</f>
        <v>1089600</v>
      </c>
      <c r="C27" s="21" t="n">
        <f aca="false">C16</f>
        <v>5994000</v>
      </c>
      <c r="D27" s="21" t="n">
        <f aca="false">D16</f>
        <v>16464000</v>
      </c>
    </row>
    <row r="28" customFormat="false" ht="15" hidden="false" customHeight="false" outlineLevel="0" collapsed="false">
      <c r="A28" s="4" t="s">
        <v>16</v>
      </c>
      <c r="B28" s="21" t="n">
        <f aca="false">B23</f>
        <v>1982400</v>
      </c>
      <c r="C28" s="21" t="n">
        <f aca="false">C23</f>
        <v>11883840</v>
      </c>
      <c r="D28" s="21" t="n">
        <f aca="false">D23</f>
        <v>33255840</v>
      </c>
    </row>
  </sheetData>
  <mergeCells count="6">
    <mergeCell ref="A1:F1"/>
    <mergeCell ref="A2:G2"/>
    <mergeCell ref="A4:D4"/>
    <mergeCell ref="A11:D11"/>
    <mergeCell ref="A18:D18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18.55" hidden="false" customHeight="false" outlineLevel="0" collapsed="false">
      <c r="A1" s="1" t="s">
        <v>49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</row>
    <row r="4" customFormat="false" ht="15" hidden="false" customHeight="false" outlineLevel="0" collapsed="false">
      <c r="A4" s="8" t="s">
        <v>51</v>
      </c>
      <c r="B4" s="8" t="s">
        <v>10</v>
      </c>
      <c r="C4" s="8" t="s">
        <v>11</v>
      </c>
      <c r="D4" s="8" t="s">
        <v>12</v>
      </c>
    </row>
    <row r="5" customFormat="false" ht="15" hidden="false" customHeight="false" outlineLevel="0" collapsed="false">
      <c r="A5" s="4" t="s">
        <v>52</v>
      </c>
      <c r="B5" s="20" t="n">
        <f aca="false">Cenários!B16</f>
        <v>1089600</v>
      </c>
      <c r="C5" s="20" t="n">
        <f aca="false">Cenários!C16</f>
        <v>5994000</v>
      </c>
      <c r="D5" s="20" t="n">
        <f aca="false">Cenários!D16</f>
        <v>16464000</v>
      </c>
    </row>
    <row r="6" customFormat="false" ht="15" hidden="false" customHeight="false" outlineLevel="0" collapsed="false">
      <c r="A6" s="4" t="s">
        <v>53</v>
      </c>
      <c r="B6" s="13" t="n">
        <f aca="false">-B5*(1-Premissas!$B$7)</f>
        <v>-348672</v>
      </c>
      <c r="C6" s="13" t="n">
        <f aca="false">-C5*(1-Premissas!$B$7)</f>
        <v>-1918080</v>
      </c>
      <c r="D6" s="13" t="n">
        <f aca="false">-D5*(1-Premissas!$B$7)</f>
        <v>-5268480</v>
      </c>
    </row>
    <row r="7" customFormat="false" ht="15" hidden="false" customHeight="false" outlineLevel="0" collapsed="false">
      <c r="A7" s="10" t="s">
        <v>54</v>
      </c>
      <c r="B7" s="11" t="n">
        <f aca="false">B5+B6</f>
        <v>740928</v>
      </c>
      <c r="C7" s="11" t="n">
        <f aca="false">C5+C6</f>
        <v>4075920</v>
      </c>
      <c r="D7" s="11" t="n">
        <f aca="false">D5+D6</f>
        <v>11195520</v>
      </c>
    </row>
    <row r="8" customFormat="false" ht="15" hidden="false" customHeight="false" outlineLevel="0" collapsed="false">
      <c r="A8" s="4" t="s">
        <v>55</v>
      </c>
      <c r="B8" s="15" t="n">
        <f aca="false">B7/B5</f>
        <v>0.68</v>
      </c>
      <c r="C8" s="15" t="n">
        <f aca="false">C7/C5</f>
        <v>0.68</v>
      </c>
      <c r="D8" s="15" t="n">
        <f aca="false">D7/D5</f>
        <v>0.68</v>
      </c>
    </row>
    <row r="9" customFormat="false" ht="15" hidden="false" customHeight="false" outlineLevel="0" collapsed="false">
      <c r="A9" s="4" t="s">
        <v>56</v>
      </c>
      <c r="B9" s="20" t="n">
        <f aca="false">-Premissas!C25</f>
        <v>-1100000</v>
      </c>
      <c r="C9" s="20" t="n">
        <f aca="false">-Premissas!D25</f>
        <v>-2400000</v>
      </c>
      <c r="D9" s="20" t="n">
        <f aca="false">-Premissas!E25</f>
        <v>-4800000</v>
      </c>
    </row>
    <row r="10" customFormat="false" ht="15" hidden="false" customHeight="false" outlineLevel="0" collapsed="false">
      <c r="A10" s="4" t="s">
        <v>57</v>
      </c>
      <c r="B10" s="20" t="n">
        <f aca="false">-Premissas!C26</f>
        <v>-150000</v>
      </c>
      <c r="C10" s="20" t="n">
        <f aca="false">-Premissas!D26</f>
        <v>-600000</v>
      </c>
      <c r="D10" s="20" t="n">
        <f aca="false">-Premissas!E26</f>
        <v>-1800000</v>
      </c>
    </row>
    <row r="11" customFormat="false" ht="15" hidden="false" customHeight="false" outlineLevel="0" collapsed="false">
      <c r="A11" s="4" t="s">
        <v>58</v>
      </c>
      <c r="B11" s="20" t="n">
        <f aca="false">-Premissas!C27</f>
        <v>-120000</v>
      </c>
      <c r="C11" s="20" t="n">
        <f aca="false">-Premissas!D27</f>
        <v>-300000</v>
      </c>
      <c r="D11" s="20" t="n">
        <f aca="false">-Premissas!E27</f>
        <v>-700000</v>
      </c>
    </row>
    <row r="12" customFormat="false" ht="15" hidden="false" customHeight="false" outlineLevel="0" collapsed="false">
      <c r="A12" s="4" t="s">
        <v>59</v>
      </c>
      <c r="B12" s="20" t="n">
        <f aca="false">-Premissas!C28</f>
        <v>-120000</v>
      </c>
      <c r="C12" s="20" t="n">
        <f aca="false">-Premissas!D28</f>
        <v>-300000</v>
      </c>
      <c r="D12" s="20" t="n">
        <f aca="false">-Premissas!E28</f>
        <v>-700000</v>
      </c>
    </row>
    <row r="13" customFormat="false" ht="15" hidden="false" customHeight="false" outlineLevel="0" collapsed="false">
      <c r="A13" s="10" t="s">
        <v>25</v>
      </c>
      <c r="B13" s="11" t="n">
        <f aca="false">SUM(B9:B12)</f>
        <v>-1490000</v>
      </c>
      <c r="C13" s="11" t="n">
        <f aca="false">SUM(C9:C12)</f>
        <v>-3600000</v>
      </c>
      <c r="D13" s="11" t="n">
        <f aca="false">SUM(D9:D12)</f>
        <v>-8000000</v>
      </c>
    </row>
    <row r="14" customFormat="false" ht="15" hidden="false" customHeight="false" outlineLevel="0" collapsed="false">
      <c r="A14" s="18" t="s">
        <v>60</v>
      </c>
      <c r="B14" s="22" t="n">
        <f aca="false">B7+B13</f>
        <v>-749072</v>
      </c>
      <c r="C14" s="22" t="n">
        <f aca="false">C7+C13</f>
        <v>475920.000000001</v>
      </c>
      <c r="D14" s="22" t="n">
        <f aca="false">D7+D13</f>
        <v>3195520</v>
      </c>
    </row>
    <row r="15" customFormat="false" ht="15" hidden="false" customHeight="false" outlineLevel="0" collapsed="false">
      <c r="A15" s="4" t="s">
        <v>61</v>
      </c>
      <c r="B15" s="15" t="n">
        <f aca="false">B14/B5</f>
        <v>-0.687474302496329</v>
      </c>
      <c r="C15" s="15" t="n">
        <f aca="false">C14/C5</f>
        <v>0.0793993993993995</v>
      </c>
      <c r="D15" s="15" t="n">
        <f aca="false">D14/D5</f>
        <v>0.194091350826045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"/>
  </cols>
  <sheetData>
    <row r="1" customFormat="false" ht="18.55" hidden="false" customHeight="false" outlineLevel="0" collapsed="false">
      <c r="A1" s="1" t="s">
        <v>62</v>
      </c>
      <c r="B1" s="1"/>
      <c r="C1" s="1"/>
      <c r="D1" s="1"/>
    </row>
    <row r="2" customFormat="false" ht="15" hidden="false" customHeight="false" outlineLevel="0" collapsed="false">
      <c r="A2" s="2" t="s">
        <v>63</v>
      </c>
      <c r="B2" s="2"/>
      <c r="C2" s="2"/>
      <c r="D2" s="2"/>
      <c r="E2" s="2"/>
    </row>
    <row r="4" customFormat="false" ht="15" hidden="false" customHeight="false" outlineLevel="0" collapsed="false">
      <c r="A4" s="8" t="s">
        <v>43</v>
      </c>
      <c r="B4" s="8" t="s">
        <v>64</v>
      </c>
      <c r="C4" s="8" t="s">
        <v>65</v>
      </c>
    </row>
    <row r="5" customFormat="false" ht="15" hidden="false" customHeight="false" outlineLevel="0" collapsed="false">
      <c r="A5" s="4" t="s">
        <v>66</v>
      </c>
      <c r="B5" s="20" t="n">
        <f aca="false">Premissas!$B$6</f>
        <v>4000</v>
      </c>
      <c r="C5" s="23" t="s">
        <v>67</v>
      </c>
    </row>
    <row r="6" customFormat="false" ht="15" hidden="false" customHeight="false" outlineLevel="0" collapsed="false">
      <c r="A6" s="4" t="s">
        <v>68</v>
      </c>
      <c r="B6" s="6" t="n">
        <v>0.8</v>
      </c>
      <c r="C6" s="23" t="s">
        <v>69</v>
      </c>
    </row>
    <row r="7" customFormat="false" ht="15" hidden="false" customHeight="false" outlineLevel="0" collapsed="false">
      <c r="A7" s="4" t="s">
        <v>70</v>
      </c>
      <c r="B7" s="5" t="n">
        <v>15000</v>
      </c>
      <c r="C7" s="23" t="s">
        <v>71</v>
      </c>
    </row>
    <row r="8" customFormat="false" ht="15" hidden="false" customHeight="false" outlineLevel="0" collapsed="false">
      <c r="A8" s="4" t="s">
        <v>72</v>
      </c>
      <c r="B8" s="6" t="n">
        <v>0.12</v>
      </c>
      <c r="C8" s="23" t="s">
        <v>69</v>
      </c>
    </row>
    <row r="9" customFormat="false" ht="15" hidden="false" customHeight="false" outlineLevel="0" collapsed="false">
      <c r="A9" s="4" t="s">
        <v>73</v>
      </c>
      <c r="B9" s="7" t="n">
        <v>36</v>
      </c>
      <c r="C9" s="23" t="s">
        <v>74</v>
      </c>
    </row>
    <row r="11" customFormat="false" ht="15" hidden="false" customHeight="false" outlineLevel="0" collapsed="false">
      <c r="A11" s="3" t="s">
        <v>75</v>
      </c>
      <c r="B11" s="3"/>
      <c r="C11" s="3"/>
    </row>
    <row r="12" customFormat="false" ht="15" hidden="false" customHeight="false" outlineLevel="0" collapsed="false">
      <c r="A12" s="4" t="s">
        <v>76</v>
      </c>
      <c r="B12" s="15" t="n">
        <f aca="false">1-(1-B8)^(1/12)</f>
        <v>0.010596241035319</v>
      </c>
    </row>
    <row r="13" customFormat="false" ht="15" hidden="false" customHeight="false" outlineLevel="0" collapsed="false">
      <c r="A13" s="4" t="s">
        <v>77</v>
      </c>
      <c r="B13" s="13" t="n">
        <f aca="false">B5*B6</f>
        <v>3200</v>
      </c>
    </row>
    <row r="14" customFormat="false" ht="15" hidden="false" customHeight="false" outlineLevel="0" collapsed="false">
      <c r="A14" s="10" t="s">
        <v>78</v>
      </c>
      <c r="B14" s="11" t="n">
        <f aca="false">B13*B9</f>
        <v>115200</v>
      </c>
    </row>
    <row r="15" customFormat="false" ht="15" hidden="false" customHeight="false" outlineLevel="0" collapsed="false">
      <c r="A15" s="18" t="s">
        <v>79</v>
      </c>
      <c r="B15" s="24" t="n">
        <f aca="false">B14/B7</f>
        <v>7.68</v>
      </c>
    </row>
    <row r="16" customFormat="false" ht="15" hidden="false" customHeight="false" outlineLevel="0" collapsed="false">
      <c r="A16" s="10" t="s">
        <v>80</v>
      </c>
      <c r="B16" s="25" t="n">
        <f aca="false">B7/B13</f>
        <v>4.6875</v>
      </c>
    </row>
    <row r="18" customFormat="false" ht="15" hidden="false" customHeight="false" outlineLevel="0" collapsed="false">
      <c r="A18" s="4" t="s">
        <v>81</v>
      </c>
      <c r="B18" s="5" t="n">
        <v>0</v>
      </c>
      <c r="C18" s="23" t="s">
        <v>82</v>
      </c>
    </row>
  </sheetData>
  <mergeCells count="3">
    <mergeCell ref="A1:D1"/>
    <mergeCell ref="A2:E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"/>
  </cols>
  <sheetData>
    <row r="1" customFormat="false" ht="18.55" hidden="false" customHeight="false" outlineLevel="0" collapsed="false">
      <c r="A1" s="1" t="s">
        <v>83</v>
      </c>
      <c r="B1" s="1"/>
      <c r="C1" s="1"/>
      <c r="D1" s="1"/>
    </row>
    <row r="3" customFormat="false" ht="15" hidden="false" customHeight="false" outlineLevel="0" collapsed="false">
      <c r="A3" s="10" t="s">
        <v>84</v>
      </c>
      <c r="B3" s="5" t="n">
        <v>1500000</v>
      </c>
    </row>
    <row r="5" customFormat="false" ht="15" hidden="false" customHeight="false" outlineLevel="0" collapsed="false">
      <c r="A5" s="8" t="s">
        <v>85</v>
      </c>
      <c r="B5" s="8" t="s">
        <v>69</v>
      </c>
      <c r="C5" s="8" t="s">
        <v>86</v>
      </c>
    </row>
    <row r="6" customFormat="false" ht="15" hidden="false" customHeight="false" outlineLevel="0" collapsed="false">
      <c r="A6" s="4" t="s">
        <v>87</v>
      </c>
      <c r="B6" s="6" t="n">
        <v>0.55</v>
      </c>
      <c r="C6" s="13" t="n">
        <f aca="false">$B$3*B6</f>
        <v>825000</v>
      </c>
    </row>
    <row r="7" customFormat="false" ht="15" hidden="false" customHeight="false" outlineLevel="0" collapsed="false">
      <c r="A7" s="4" t="s">
        <v>88</v>
      </c>
      <c r="B7" s="6" t="n">
        <v>0.18</v>
      </c>
      <c r="C7" s="13" t="n">
        <f aca="false">$B$3*B7</f>
        <v>270000</v>
      </c>
    </row>
    <row r="8" customFormat="false" ht="15" hidden="false" customHeight="false" outlineLevel="0" collapsed="false">
      <c r="A8" s="4" t="s">
        <v>89</v>
      </c>
      <c r="B8" s="6" t="n">
        <v>0.1</v>
      </c>
      <c r="C8" s="13" t="n">
        <f aca="false">$B$3*B8</f>
        <v>150000</v>
      </c>
    </row>
    <row r="9" customFormat="false" ht="15" hidden="false" customHeight="false" outlineLevel="0" collapsed="false">
      <c r="A9" s="4" t="s">
        <v>90</v>
      </c>
      <c r="B9" s="6" t="n">
        <v>0.09</v>
      </c>
      <c r="C9" s="13" t="n">
        <f aca="false">$B$3*B9</f>
        <v>135000</v>
      </c>
    </row>
    <row r="10" customFormat="false" ht="15" hidden="false" customHeight="false" outlineLevel="0" collapsed="false">
      <c r="A10" s="4" t="s">
        <v>91</v>
      </c>
      <c r="B10" s="6" t="n">
        <v>0.08</v>
      </c>
      <c r="C10" s="13" t="n">
        <f aca="false">$B$3*B10</f>
        <v>120000</v>
      </c>
    </row>
    <row r="11" customFormat="false" ht="15" hidden="false" customHeight="false" outlineLevel="0" collapsed="false">
      <c r="A11" s="10" t="s">
        <v>92</v>
      </c>
      <c r="B11" s="26" t="n">
        <f aca="false">SUM(B6:B10)</f>
        <v>1</v>
      </c>
      <c r="C11" s="11" t="n">
        <f aca="false">SUM(C6:C10)</f>
        <v>1500000</v>
      </c>
    </row>
    <row r="13" customFormat="false" ht="15" hidden="false" customHeight="false" outlineLevel="0" collapsed="false">
      <c r="A13" s="4" t="s">
        <v>93</v>
      </c>
      <c r="B13" s="7" t="n">
        <v>20</v>
      </c>
    </row>
    <row r="14" customFormat="false" ht="15" hidden="false" customHeight="false" outlineLevel="0" collapsed="false">
      <c r="A14" s="4" t="s">
        <v>94</v>
      </c>
      <c r="B14" s="20" t="n">
        <f aca="false">'DRE (Realista)'!B14</f>
        <v>-749072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2026-06-23T05:06:34Z</dcterms:created>
  <dc:creator>openpyxl</dc:creator>
  <dc:description/>
  <dc:language>pt-BR</dc:language>
  <cp:lastModifiedBy/>
  <dcterms:modified xsi:type="dcterms:W3CDTF">2026-06-23T05:06:34Z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